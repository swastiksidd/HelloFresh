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9F32A28C-71C5-4B4B-AC6E-8420656E2F95}" xr6:coauthVersionLast="46" xr6:coauthVersionMax="46" xr10:uidLastSave="{00000000-0000-0000-0000-000000000000}"/>
  <bookViews>
    <workbookView xWindow="-120" yWindow="-120" windowWidth="20730" windowHeight="11160" activeTab="3" xr2:uid="{2871DDED-D7DD-4311-85DE-5D4D01552375}"/>
  </bookViews>
  <sheets>
    <sheet name="Sheet1" sheetId="1" r:id="rId1"/>
    <sheet name="Sheet2" sheetId="2" r:id="rId2"/>
    <sheet name="Sheet3" sheetId="3" r:id="rId3"/>
    <sheet name="Sheet4" sheetId="4" r:id="rId4"/>
  </sheets>
  <definedNames>
    <definedName name="_xlchart.v1.0" hidden="1">Sheet4!$B$3:$B$69</definedName>
    <definedName name="_xlchart.v1.1" hidden="1">Sheet4!$C$3:$C$69</definedName>
    <definedName name="_xlchart.v1.2" hidden="1">Sheet4!$D$3:$D$69</definedName>
    <definedName name="ExternalData_1" localSheetId="1" hidden="1">Sheet2!$A$1:$F$95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4" l="1"/>
  <c r="E10" i="4"/>
  <c r="E11" i="4"/>
  <c r="E12" i="4"/>
  <c r="E13" i="4"/>
  <c r="E14" i="4"/>
  <c r="E15" i="4"/>
  <c r="E16" i="4"/>
  <c r="E17" i="4"/>
  <c r="E18" i="4"/>
  <c r="E19" i="4"/>
  <c r="E5" i="4"/>
  <c r="E6" i="4"/>
  <c r="E7" i="4"/>
  <c r="E8" i="4"/>
  <c r="E4" i="4"/>
  <c r="E16" i="3"/>
  <c r="C16" i="3"/>
  <c r="B8" i="3"/>
  <c r="B9" i="3" s="1"/>
  <c r="C9" i="3" l="1"/>
  <c r="D9" i="3"/>
  <c r="B10" i="3"/>
  <c r="B7" i="3"/>
  <c r="C8" i="3"/>
  <c r="D8" i="3"/>
  <c r="D7" i="3" l="1"/>
  <c r="C7" i="3"/>
  <c r="B6" i="3"/>
  <c r="D10" i="3"/>
  <c r="C10" i="3"/>
  <c r="B11" i="3"/>
  <c r="B5" i="3" l="1"/>
  <c r="D6" i="3"/>
  <c r="C6" i="3"/>
  <c r="B12" i="3"/>
  <c r="D11" i="3"/>
  <c r="C11" i="3"/>
  <c r="B13" i="3" l="1"/>
  <c r="D12" i="3"/>
  <c r="C12" i="3"/>
  <c r="B4" i="3"/>
  <c r="C5" i="3"/>
  <c r="D5" i="3"/>
  <c r="B3" i="3" l="1"/>
  <c r="D4" i="3"/>
  <c r="C4" i="3"/>
  <c r="B14" i="3"/>
  <c r="C13" i="3"/>
  <c r="D13" i="3"/>
  <c r="D14" i="3" l="1"/>
  <c r="C14" i="3"/>
  <c r="B2" i="3"/>
  <c r="D3" i="3"/>
  <c r="C3" i="3"/>
  <c r="D2" i="3" l="1"/>
  <c r="D15" i="3" s="1"/>
  <c r="C2" i="3"/>
  <c r="C15" i="3" s="1"/>
  <c r="D16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BED4BE-7F02-4FC3-B65F-0AD47F8D8FFB}" keepAlive="1" name="Query - cookies" description="Connection to the 'cookies' query in the workbook." type="5" refreshedVersion="0" background="1">
    <dbPr connection="Provider=Microsoft.Mashup.OleDb.1;Data Source=$Workbook$;Location=cookies;Extended Properties=&quot;&quot;" command="SELECT * FROM [cookies]"/>
  </connection>
  <connection id="2" xr16:uid="{BCD297AC-B2F2-4867-BA19-5FE0D7571BDF}" keepAlive="1" interval="5" name="Query - Data" description="Connection to the 'Data' query in the workbook." type="5" refreshedVersion="6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<sst xmlns="http://schemas.openxmlformats.org/spreadsheetml/2006/main" count="110" uniqueCount="14">
  <si>
    <t>cookies</t>
  </si>
  <si>
    <t>_ga=GA1.2.462399060.1593595663; _gid=GA1.2.1352873249.1614177419; nsit=EA02T7Ze585sYrgS0xQDptSV; AKA_A2=A; ak_bmsc=D23A5F7B6BCEC168211C6296644FBD5017394A50DD300000089C3760EE201408~pl0G+iOrJcih3lsv6rIxFAWaFY7RMGEg3zG8Gh4pALTJPmnm201YPCyMe4UPPEpBDnwLrL3+cImIVUdlONdMnqGaRyFbrNOpmiFr44/Ahddw4NdmvRRTVqrlAbUPd2r/922lWcGKon9ssg/yaArqpo5pCEPHSsyfyvSCkiq/+FdoBOnS6XSwcjV3VawvlaeFPrsGtUyvVKYQb5OlVdJSj7aEIYsO4wgeSVKKQrZrvTIfMfN9UuWfAjnfbBEBLcC4ej; nseappid=eyJhbGciOiJIUzI1NiIsInR5cCI6IkpXVCJ9.eyJpc3MiOiJhcGkubnNlIiwiYXVkIjoiYXBpLm5zZSIsImlhdCI6MTYxNDI1NzIwOSwiZXhwIjoxNjE0MjYwODA5fQ.2wji0wtTvy9MR-rW-ldvgHS2yLLN81o_lvC7T7HN7G4; nseQuoteSymbols=[{"symbol":"NIFTY","identifier":"OPTIDXNIFTY25-02-2021CE15200.00","type":"equity"}]; RT="z=1&amp;dm=nseindia.com&amp;si=67f8067f-fe38-4772-85fe-852a082d887f&amp;ss=klkv19qr&amp;sl=3&amp;tt=590&amp;bcn=//684d0d40.akstat.io/&amp;ld=11yj&amp;nu=854be4d6e35d696bb33438002a3a32f3&amp;cl=28x5"; bm_sv=C41A7993C2063A81510AB57C4911B311~hEicEAjvM+ckLfTsLy74ig/R4x49LXphUYXIBLRXB+IK7ZpfquIgqTuYpSgaDncQirudeSK14W3LLxILckExPrKt4eKf6I4INBHjyJfAYBm+6x5YaVhBm1crKSTZvnGp0HAMl0W1LWlIIGc8Cv+40UhnerX4qkXWz1BNIX/1iHw=</t>
  </si>
  <si>
    <t>strikePrice</t>
  </si>
  <si>
    <t>expiryDate</t>
  </si>
  <si>
    <t>CE.changeinOpenInterest</t>
  </si>
  <si>
    <t>CE.underlyingValue</t>
  </si>
  <si>
    <t>PE.changeinOpenInterest</t>
  </si>
  <si>
    <t>PE.underlyingValue</t>
  </si>
  <si>
    <t>04-Mar-2021</t>
  </si>
  <si>
    <t>Call</t>
  </si>
  <si>
    <t>Put</t>
  </si>
  <si>
    <t>Time</t>
  </si>
  <si>
    <t>Diff</t>
  </si>
  <si>
    <t>CMP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</si>
</sst>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m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0" fontId="0" fillId="2" borderId="0" xfId="0" applyFill="1"/>
    <xf numFmtId="0" fontId="1" fillId="0" borderId="0" xfId="0" applyFont="1"/>
    <xf numFmtId="0" fontId="1" fillId="2" borderId="0" xfId="0" applyFont="1" applyFill="1"/>
    <xf numFmtId="164" fontId="1" fillId="0" borderId="0" xfId="0" applyNumberFormat="1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Sheet4!$B$3:$B$31</c:f>
              <c:numCache>
                <c:formatCode>hhmm</c:formatCode>
                <c:ptCount val="29"/>
                <c:pt idx="0">
                  <c:v>44257.425405671296</c:v>
                </c:pt>
                <c:pt idx="1">
                  <c:v>44257.435662268515</c:v>
                </c:pt>
                <c:pt idx="2">
                  <c:v>44257.445997916664</c:v>
                </c:pt>
                <c:pt idx="3">
                  <c:v>44257.456332638889</c:v>
                </c:pt>
                <c:pt idx="4">
                  <c:v>44257.466668518522</c:v>
                </c:pt>
                <c:pt idx="5">
                  <c:v>44257.477004166663</c:v>
                </c:pt>
                <c:pt idx="6">
                  <c:v>44257.48733935185</c:v>
                </c:pt>
                <c:pt idx="7">
                  <c:v>44257.497674537037</c:v>
                </c:pt>
                <c:pt idx="8">
                  <c:v>44257.50801041667</c:v>
                </c:pt>
                <c:pt idx="9">
                  <c:v>44257.518345601849</c:v>
                </c:pt>
                <c:pt idx="10">
                  <c:v>44257.528873379626</c:v>
                </c:pt>
                <c:pt idx="11">
                  <c:v>44257.539017939816</c:v>
                </c:pt>
                <c:pt idx="12">
                  <c:v>44257.549351273148</c:v>
                </c:pt>
                <c:pt idx="13">
                  <c:v>44257.559699305559</c:v>
                </c:pt>
                <c:pt idx="14">
                  <c:v>44257.570021990738</c:v>
                </c:pt>
                <c:pt idx="15">
                  <c:v>44257.580357638886</c:v>
                </c:pt>
                <c:pt idx="16">
                  <c:v>44257.590689699071</c:v>
                </c:pt>
                <c:pt idx="17">
                  <c:v>44257.627899884261</c:v>
                </c:pt>
                <c:pt idx="18">
                  <c:v>44257.638571875003</c:v>
                </c:pt>
                <c:pt idx="19">
                  <c:v>44257.648570370373</c:v>
                </c:pt>
                <c:pt idx="20">
                  <c:v>44257.658905671298</c:v>
                </c:pt>
                <c:pt idx="21">
                  <c:v>44257.669241435186</c:v>
                </c:pt>
                <c:pt idx="22">
                  <c:v>44257.672682638891</c:v>
                </c:pt>
                <c:pt idx="23">
                  <c:v>44257.707826157406</c:v>
                </c:pt>
                <c:pt idx="24">
                  <c:v>44257.718161921293</c:v>
                </c:pt>
                <c:pt idx="25">
                  <c:v>44257.728496296295</c:v>
                </c:pt>
                <c:pt idx="26">
                  <c:v>44257.735383912041</c:v>
                </c:pt>
                <c:pt idx="27">
                  <c:v>44257.77535034722</c:v>
                </c:pt>
                <c:pt idx="28">
                  <c:v>44257.785685648145</c:v>
                </c:pt>
              </c:numCache>
            </c:numRef>
          </c:cat>
          <c:val>
            <c:numRef>
              <c:f>Sheet4!$C$3:$C$31</c:f>
              <c:numCache>
                <c:formatCode>General</c:formatCode>
                <c:ptCount val="29"/>
                <c:pt idx="0">
                  <c:v>2715300</c:v>
                </c:pt>
                <c:pt idx="1">
                  <c:v>3392700</c:v>
                </c:pt>
                <c:pt idx="2">
                  <c:v>5424300</c:v>
                </c:pt>
                <c:pt idx="3">
                  <c:v>5358975</c:v>
                </c:pt>
                <c:pt idx="4">
                  <c:v>5875725</c:v>
                </c:pt>
                <c:pt idx="5">
                  <c:v>5523225</c:v>
                </c:pt>
                <c:pt idx="6">
                  <c:v>4224300</c:v>
                </c:pt>
                <c:pt idx="7">
                  <c:v>3545100</c:v>
                </c:pt>
                <c:pt idx="8">
                  <c:v>3248250</c:v>
                </c:pt>
                <c:pt idx="9">
                  <c:v>2219400</c:v>
                </c:pt>
                <c:pt idx="10">
                  <c:v>2219175</c:v>
                </c:pt>
                <c:pt idx="11">
                  <c:v>1548225</c:v>
                </c:pt>
                <c:pt idx="12">
                  <c:v>442125</c:v>
                </c:pt>
                <c:pt idx="13">
                  <c:v>-249075</c:v>
                </c:pt>
                <c:pt idx="14">
                  <c:v>-267600</c:v>
                </c:pt>
                <c:pt idx="15">
                  <c:v>-1155300</c:v>
                </c:pt>
                <c:pt idx="16">
                  <c:v>-1190775</c:v>
                </c:pt>
                <c:pt idx="17">
                  <c:v>-1092075</c:v>
                </c:pt>
                <c:pt idx="18">
                  <c:v>-2847600</c:v>
                </c:pt>
                <c:pt idx="19">
                  <c:v>-2575875</c:v>
                </c:pt>
                <c:pt idx="20">
                  <c:v>-1699125</c:v>
                </c:pt>
                <c:pt idx="21">
                  <c:v>-1699125</c:v>
                </c:pt>
                <c:pt idx="22">
                  <c:v>-1699125</c:v>
                </c:pt>
                <c:pt idx="23">
                  <c:v>-1699125</c:v>
                </c:pt>
                <c:pt idx="24">
                  <c:v>-1699125</c:v>
                </c:pt>
                <c:pt idx="25">
                  <c:v>-1699125</c:v>
                </c:pt>
                <c:pt idx="26">
                  <c:v>-1699125</c:v>
                </c:pt>
                <c:pt idx="27">
                  <c:v>-1699125</c:v>
                </c:pt>
                <c:pt idx="28">
                  <c:v>-1699125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40-4C09-B180-CFDD93679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5942736"/>
        <c:axId val="1395935664"/>
      </c:lineChart>
      <c:catAx>
        <c:axId val="1395942736"/>
        <c:scaling>
          <c:orientation val="minMax"/>
        </c:scaling>
        <c:delete val="0"/>
        <c:axPos val="b"/>
        <c:numFmt formatCode="hh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935664"/>
        <c:crosses val="autoZero"/>
        <c:auto val="1"/>
        <c:lblAlgn val="ctr"/>
        <c:lblOffset val="100"/>
        <c:noMultiLvlLbl val="0"/>
      </c:catAx>
      <c:valAx>
        <c:axId val="13959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942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Sheet4!$B$3:$B$69</c:f>
              <c:numCache>
                <c:formatCode>hhmm</c:formatCode>
                <c:ptCount val="67"/>
                <c:pt idx="0">
                  <c:v>44257.425405671296</c:v>
                </c:pt>
                <c:pt idx="1">
                  <c:v>44257.435662268515</c:v>
                </c:pt>
                <c:pt idx="2">
                  <c:v>44257.445997916664</c:v>
                </c:pt>
                <c:pt idx="3">
                  <c:v>44257.456332638889</c:v>
                </c:pt>
                <c:pt idx="4">
                  <c:v>44257.466668518522</c:v>
                </c:pt>
                <c:pt idx="5">
                  <c:v>44257.477004166663</c:v>
                </c:pt>
                <c:pt idx="6">
                  <c:v>44257.48733935185</c:v>
                </c:pt>
                <c:pt idx="7">
                  <c:v>44257.497674537037</c:v>
                </c:pt>
                <c:pt idx="8">
                  <c:v>44257.50801041667</c:v>
                </c:pt>
                <c:pt idx="9">
                  <c:v>44257.518345601849</c:v>
                </c:pt>
                <c:pt idx="10">
                  <c:v>44257.528873379626</c:v>
                </c:pt>
                <c:pt idx="11">
                  <c:v>44257.539017939816</c:v>
                </c:pt>
                <c:pt idx="12">
                  <c:v>44257.549351273148</c:v>
                </c:pt>
                <c:pt idx="13">
                  <c:v>44257.559699305559</c:v>
                </c:pt>
                <c:pt idx="14">
                  <c:v>44257.570021990738</c:v>
                </c:pt>
                <c:pt idx="15">
                  <c:v>44257.580357638886</c:v>
                </c:pt>
                <c:pt idx="16">
                  <c:v>44257.590689699071</c:v>
                </c:pt>
                <c:pt idx="17">
                  <c:v>44257.627899884261</c:v>
                </c:pt>
                <c:pt idx="18">
                  <c:v>44257.638571875003</c:v>
                </c:pt>
                <c:pt idx="19">
                  <c:v>44257.648570370373</c:v>
                </c:pt>
                <c:pt idx="20">
                  <c:v>44257.658905671298</c:v>
                </c:pt>
                <c:pt idx="21">
                  <c:v>44257.669241435186</c:v>
                </c:pt>
                <c:pt idx="22">
                  <c:v>44257.672682638891</c:v>
                </c:pt>
                <c:pt idx="23">
                  <c:v>44257.707826157406</c:v>
                </c:pt>
                <c:pt idx="24">
                  <c:v>44257.718161921293</c:v>
                </c:pt>
                <c:pt idx="25">
                  <c:v>44257.728496296295</c:v>
                </c:pt>
                <c:pt idx="26">
                  <c:v>44257.735383912041</c:v>
                </c:pt>
                <c:pt idx="27">
                  <c:v>44257.77535034722</c:v>
                </c:pt>
                <c:pt idx="28">
                  <c:v>44257.785685648145</c:v>
                </c:pt>
                <c:pt idx="29">
                  <c:v>44257.796022800925</c:v>
                </c:pt>
                <c:pt idx="30">
                  <c:v>44257.802907060184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D2-4B93-8366-F5870630F6C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Sheet4!$C$3:$C$69</c:f>
              <c:numCache>
                <c:formatCode>General</c:formatCode>
                <c:ptCount val="67"/>
                <c:pt idx="0">
                  <c:v>2715300</c:v>
                </c:pt>
                <c:pt idx="1">
                  <c:v>3392700</c:v>
                </c:pt>
                <c:pt idx="2">
                  <c:v>5424300</c:v>
                </c:pt>
                <c:pt idx="3">
                  <c:v>5358975</c:v>
                </c:pt>
                <c:pt idx="4">
                  <c:v>5875725</c:v>
                </c:pt>
                <c:pt idx="5">
                  <c:v>5523225</c:v>
                </c:pt>
                <c:pt idx="6">
                  <c:v>4224300</c:v>
                </c:pt>
                <c:pt idx="7">
                  <c:v>3545100</c:v>
                </c:pt>
                <c:pt idx="8">
                  <c:v>3248250</c:v>
                </c:pt>
                <c:pt idx="9">
                  <c:v>2219400</c:v>
                </c:pt>
                <c:pt idx="10">
                  <c:v>2219175</c:v>
                </c:pt>
                <c:pt idx="11">
                  <c:v>1548225</c:v>
                </c:pt>
                <c:pt idx="12">
                  <c:v>442125</c:v>
                </c:pt>
                <c:pt idx="13">
                  <c:v>-249075</c:v>
                </c:pt>
                <c:pt idx="14">
                  <c:v>-267600</c:v>
                </c:pt>
                <c:pt idx="15">
                  <c:v>-1155300</c:v>
                </c:pt>
                <c:pt idx="16">
                  <c:v>-1190775</c:v>
                </c:pt>
                <c:pt idx="17">
                  <c:v>-1092075</c:v>
                </c:pt>
                <c:pt idx="18">
                  <c:v>-2847600</c:v>
                </c:pt>
                <c:pt idx="19">
                  <c:v>-2575875</c:v>
                </c:pt>
                <c:pt idx="20">
                  <c:v>-1699125</c:v>
                </c:pt>
                <c:pt idx="21">
                  <c:v>-1699125</c:v>
                </c:pt>
                <c:pt idx="22">
                  <c:v>-1699125</c:v>
                </c:pt>
                <c:pt idx="23">
                  <c:v>-1699125</c:v>
                </c:pt>
                <c:pt idx="24">
                  <c:v>-1699125</c:v>
                </c:pt>
                <c:pt idx="25">
                  <c:v>-1699125</c:v>
                </c:pt>
                <c:pt idx="26">
                  <c:v>-1699125</c:v>
                </c:pt>
                <c:pt idx="27">
                  <c:v>-1699125</c:v>
                </c:pt>
                <c:pt idx="28">
                  <c:v>-1699125</c:v>
                </c:pt>
                <c:pt idx="29">
                  <c:v>-1699125</c:v>
                </c:pt>
                <c:pt idx="30">
                  <c:v>-1699125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D2-4B93-8366-F5870630F6CD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Sheet4!$D$3:$D$69</c:f>
              <c:numCache>
                <c:formatCode>General</c:formatCode>
                <c:ptCount val="67"/>
                <c:pt idx="0">
                  <c:v>14915.25</c:v>
                </c:pt>
                <c:pt idx="1">
                  <c:v>14904.7</c:v>
                </c:pt>
                <c:pt idx="2">
                  <c:v>14864.15</c:v>
                </c:pt>
                <c:pt idx="3">
                  <c:v>14854.6</c:v>
                </c:pt>
                <c:pt idx="4">
                  <c:v>14822</c:v>
                </c:pt>
                <c:pt idx="5">
                  <c:v>14792</c:v>
                </c:pt>
                <c:pt idx="6">
                  <c:v>14827.35</c:v>
                </c:pt>
                <c:pt idx="7">
                  <c:v>14843.5</c:v>
                </c:pt>
                <c:pt idx="8">
                  <c:v>14817.8</c:v>
                </c:pt>
                <c:pt idx="9">
                  <c:v>14835.8</c:v>
                </c:pt>
                <c:pt idx="10">
                  <c:v>14816.95</c:v>
                </c:pt>
                <c:pt idx="11">
                  <c:v>14807.5</c:v>
                </c:pt>
                <c:pt idx="12">
                  <c:v>14817.6</c:v>
                </c:pt>
                <c:pt idx="13">
                  <c:v>14812.6</c:v>
                </c:pt>
                <c:pt idx="14">
                  <c:v>14785.9</c:v>
                </c:pt>
                <c:pt idx="15">
                  <c:v>14853.8</c:v>
                </c:pt>
                <c:pt idx="16">
                  <c:v>14836.4</c:v>
                </c:pt>
                <c:pt idx="17">
                  <c:v>14838.25</c:v>
                </c:pt>
                <c:pt idx="18">
                  <c:v>14932.55</c:v>
                </c:pt>
                <c:pt idx="19">
                  <c:v>14945.65</c:v>
                </c:pt>
                <c:pt idx="20">
                  <c:v>14919.1</c:v>
                </c:pt>
                <c:pt idx="21">
                  <c:v>14919.1</c:v>
                </c:pt>
                <c:pt idx="22">
                  <c:v>14919.1</c:v>
                </c:pt>
                <c:pt idx="23">
                  <c:v>14919.1</c:v>
                </c:pt>
                <c:pt idx="24">
                  <c:v>14919.1</c:v>
                </c:pt>
                <c:pt idx="25">
                  <c:v>14919.1</c:v>
                </c:pt>
                <c:pt idx="26">
                  <c:v>14919.1</c:v>
                </c:pt>
                <c:pt idx="27">
                  <c:v>14919.1</c:v>
                </c:pt>
                <c:pt idx="28">
                  <c:v>14919.1</c:v>
                </c:pt>
                <c:pt idx="29">
                  <c:v>14919.1</c:v>
                </c:pt>
                <c:pt idx="30">
                  <c:v>14919.1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D2-4B93-8366-F5870630F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5945648"/>
        <c:axId val="1395956464"/>
      </c:lineChart>
      <c:catAx>
        <c:axId val="1395945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956464"/>
        <c:crosses val="autoZero"/>
        <c:auto val="1"/>
        <c:lblAlgn val="ctr"/>
        <c:lblOffset val="100"/>
        <c:noMultiLvlLbl val="0"/>
      </c:catAx>
      <c:valAx>
        <c:axId val="139595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94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323849</xdr:colOff>
      <xdr:row>1</xdr:row>
      <xdr:rowOff>71437</xdr:rowOff>
    </xdr:from>
    <xdr:to>
      <xdr:col>18</xdr:col>
      <xdr:colOff>409574</xdr:colOff>
      <xdr:row>15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DA43662-BC1B-414A-A09B-3AA5CAEB01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333375</xdr:colOff>
      <xdr:row>52</xdr:row>
      <xdr:rowOff>128587</xdr:rowOff>
    </xdr:from>
    <xdr:to>
      <xdr:col>14</xdr:col>
      <xdr:colOff>28575</xdr:colOff>
      <xdr:row>67</xdr:row>
      <xdr:rowOff>14287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F2D95D7-AEE7-44CD-B87B-70A07D3F2F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8B9E965-9243-4100-A1EA-AFF22A63E9EA}" autoFormatId="16" applyNumberFormats="0" applyBorderFormats="0" applyFontFormats="0" applyPatternFormats="0" applyAlignmentFormats="0" applyWidthHeightFormats="0">
  <queryTableRefresh nextId="7">
    <queryTableFields count="6">
      <queryTableField id="1" name="strikePrice" tableColumnId="7"/>
      <queryTableField id="2" name="expiryDate" tableColumnId="2"/>
      <queryTableField id="3" name="CE.changeinOpenInterest" tableColumnId="3"/>
      <queryTableField id="4" name="CE.underlyingValue" tableColumnId="4"/>
      <queryTableField id="5" name="PE.changeinOpenInterest" tableColumnId="5"/>
      <queryTableField id="6" name="PE.underlyingValue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ECF708-ED56-4EFA-B6F4-D5415C644C6C}" name="Table1" displayName="Table1" ref="B2:B3" totalsRowShown="0">
  <autoFilter ref="B2:B3" xr:uid="{58A427AE-F538-443A-A3BA-EA608926B076}"/>
  <tableColumns count="1">
    <tableColumn id="1" xr3:uid="{F4C5A177-0390-4400-9D4D-4B6084AF031B}" name="cooki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BF769B-3641-4753-9A48-9332FD34DCC1}" name="Data" displayName="Data" ref="A1:F95" tableType="queryTable" totalsRowShown="0">
  <autoFilter ref="A1:F95" xr:uid="{13B53EE8-9C62-4033-8205-66ABE172959D}"/>
  <tableColumns count="6">
    <tableColumn id="7" xr3:uid="{36B2F50C-F7E2-4724-A1C2-9BB834B92E59}" uniqueName="7" name="strikePrice" queryTableFieldId="1"/>
    <tableColumn id="2" xr3:uid="{A6B540CF-3756-4BC0-BB3C-571366F2EB9C}" uniqueName="2" name="expiryDate" queryTableFieldId="2"/>
    <tableColumn id="3" xr3:uid="{A9762475-6CB2-4A48-B8B5-36A1EFFF4D7C}" uniqueName="3" name="CE.changeinOpenInterest" queryTableFieldId="3"/>
    <tableColumn id="4" xr3:uid="{199B5BE7-A0AA-4C72-A038-562D766614AD}" uniqueName="4" name="CE.underlyingValue" queryTableFieldId="4"/>
    <tableColumn id="5" xr3:uid="{5051F4BA-CEB0-474E-9C8D-3A9B1B9BC0C7}" uniqueName="5" name="PE.changeinOpenInterest" queryTableFieldId="5"/>
    <tableColumn id="6" xr3:uid="{04F26D74-ED02-4DD9-929D-A799C83F7308}" uniqueName="6" name="PE.underlyingValue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507B3-A8DF-4B82-ABE2-B1EBD558D3CE}">
  <sheetPr codeName="Sheet1"/>
  <dimension ref="B2:B3"/>
  <sheetViews>
    <sheetView workbookViewId="0">
      <selection activeCell="B2" sqref="B2:B3"/>
    </sheetView>
  </sheetViews>
  <sheetFormatPr defaultRowHeight="15" x14ac:dyDescent="0.25"/>
  <cols>
    <col min="2" max="2" width="9.85546875" customWidth="1"/>
  </cols>
  <sheetData>
    <row r="2" spans="2:2" x14ac:dyDescent="0.25">
      <c r="B2" t="s">
        <v>0</v>
      </c>
    </row>
    <row r="3" spans="2:2" x14ac:dyDescent="0.25">
      <c r="B3" t="s">
        <v>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D8C24-F505-4B8C-8CC0-5DA638958898}">
  <sheetPr codeName="Sheet2"/>
  <dimension ref="A1:F95"/>
  <sheetViews>
    <sheetView workbookViewId="0">
      <selection activeCell="E11" sqref="E11"/>
    </sheetView>
  </sheetViews>
  <sheetFormatPr defaultRowHeight="15" x14ac:dyDescent="0.25"/>
  <cols>
    <col min="1" max="1" width="12.7109375" bestFit="1" customWidth="1"/>
    <col min="2" max="2" width="13" bestFit="1" customWidth="1"/>
    <col min="3" max="3" width="26.28515625" bestFit="1" customWidth="1"/>
    <col min="4" max="4" width="21" bestFit="1" customWidth="1"/>
    <col min="5" max="5" width="26.28515625" bestFit="1" customWidth="1"/>
    <col min="6" max="6" width="21" bestFit="1" customWidth="1"/>
  </cols>
  <sheetData>
    <row r="1" spans="1:6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</row>
    <row r="2" spans="1:6" x14ac:dyDescent="0.25">
      <c r="A2" s="1">
        <v>12150</v>
      </c>
      <c r="B2" s="1" t="s">
        <v>8</v>
      </c>
      <c r="C2" s="1">
        <v>4</v>
      </c>
      <c r="D2" s="1">
        <v>14919.1</v>
      </c>
      <c r="E2" s="1">
        <v>-151</v>
      </c>
      <c r="F2" s="1">
        <v>14919.1</v>
      </c>
    </row>
    <row r="3" spans="1:6" x14ac:dyDescent="0.25">
      <c r="A3" s="1">
        <v>12200</v>
      </c>
      <c r="B3" s="1" t="s">
        <v>8</v>
      </c>
      <c r="C3" s="1">
        <v>0</v>
      </c>
      <c r="D3" s="1">
        <v>14919.1</v>
      </c>
      <c r="E3" s="1">
        <v>235</v>
      </c>
      <c r="F3" s="1">
        <v>14919.1</v>
      </c>
    </row>
    <row r="4" spans="1:6" x14ac:dyDescent="0.25">
      <c r="A4" s="1">
        <v>12250</v>
      </c>
      <c r="B4" s="1" t="s">
        <v>8</v>
      </c>
      <c r="C4" s="1">
        <v>0</v>
      </c>
      <c r="D4" s="1">
        <v>14919.1</v>
      </c>
      <c r="E4" s="1">
        <v>25</v>
      </c>
      <c r="F4" s="1">
        <v>14919.1</v>
      </c>
    </row>
    <row r="5" spans="1:6" x14ac:dyDescent="0.25">
      <c r="A5" s="1">
        <v>12300</v>
      </c>
      <c r="B5" s="1" t="s">
        <v>8</v>
      </c>
      <c r="C5" s="1">
        <v>0</v>
      </c>
      <c r="D5" s="1">
        <v>14919.1</v>
      </c>
      <c r="E5" s="1">
        <v>257</v>
      </c>
      <c r="F5" s="1">
        <v>14919.1</v>
      </c>
    </row>
    <row r="6" spans="1:6" x14ac:dyDescent="0.25">
      <c r="A6" s="1">
        <v>12350</v>
      </c>
      <c r="B6" s="1" t="s">
        <v>8</v>
      </c>
      <c r="C6" s="1">
        <v>0</v>
      </c>
      <c r="D6" s="1">
        <v>14919.1</v>
      </c>
      <c r="E6" s="1">
        <v>0</v>
      </c>
      <c r="F6" s="1">
        <v>14919.1</v>
      </c>
    </row>
    <row r="7" spans="1:6" x14ac:dyDescent="0.25">
      <c r="A7" s="1">
        <v>12400</v>
      </c>
      <c r="B7" s="1" t="s">
        <v>8</v>
      </c>
      <c r="C7" s="1">
        <v>0</v>
      </c>
      <c r="D7" s="1">
        <v>14919.1</v>
      </c>
      <c r="E7" s="1">
        <v>360</v>
      </c>
      <c r="F7" s="1">
        <v>14919.1</v>
      </c>
    </row>
    <row r="8" spans="1:6" x14ac:dyDescent="0.25">
      <c r="A8" s="1">
        <v>12450</v>
      </c>
      <c r="B8" s="1" t="s">
        <v>8</v>
      </c>
      <c r="C8" s="1">
        <v>0</v>
      </c>
      <c r="D8" s="1">
        <v>14919.1</v>
      </c>
      <c r="E8" s="1">
        <v>63</v>
      </c>
      <c r="F8" s="1">
        <v>14919.1</v>
      </c>
    </row>
    <row r="9" spans="1:6" x14ac:dyDescent="0.25">
      <c r="A9" s="1">
        <v>12500</v>
      </c>
      <c r="B9" s="1" t="s">
        <v>8</v>
      </c>
      <c r="C9" s="1">
        <v>0</v>
      </c>
      <c r="D9" s="1">
        <v>14919.1</v>
      </c>
      <c r="E9" s="1">
        <v>466</v>
      </c>
      <c r="F9" s="1">
        <v>14919.1</v>
      </c>
    </row>
    <row r="10" spans="1:6" x14ac:dyDescent="0.25">
      <c r="A10" s="1">
        <v>12550</v>
      </c>
      <c r="B10" s="1" t="s">
        <v>8</v>
      </c>
      <c r="C10" s="1">
        <v>0</v>
      </c>
      <c r="D10" s="1">
        <v>14919.1</v>
      </c>
      <c r="E10" s="1">
        <v>2</v>
      </c>
      <c r="F10" s="1">
        <v>14919.1</v>
      </c>
    </row>
    <row r="11" spans="1:6" x14ac:dyDescent="0.25">
      <c r="A11" s="1">
        <v>12600</v>
      </c>
      <c r="B11" s="1" t="s">
        <v>8</v>
      </c>
      <c r="C11" s="1">
        <v>0</v>
      </c>
      <c r="D11" s="1">
        <v>14919.1</v>
      </c>
      <c r="E11" s="1">
        <v>267</v>
      </c>
      <c r="F11" s="1">
        <v>14919.1</v>
      </c>
    </row>
    <row r="12" spans="1:6" x14ac:dyDescent="0.25">
      <c r="A12" s="1">
        <v>12650</v>
      </c>
      <c r="B12" s="1" t="s">
        <v>8</v>
      </c>
      <c r="C12" s="1">
        <v>0</v>
      </c>
      <c r="D12" s="1">
        <v>14919.1</v>
      </c>
      <c r="E12" s="1">
        <v>0</v>
      </c>
      <c r="F12" s="1">
        <v>14919.1</v>
      </c>
    </row>
    <row r="13" spans="1:6" x14ac:dyDescent="0.25">
      <c r="A13" s="1">
        <v>12700</v>
      </c>
      <c r="B13" s="1" t="s">
        <v>8</v>
      </c>
      <c r="C13" s="1">
        <v>0</v>
      </c>
      <c r="D13" s="1">
        <v>14919.1</v>
      </c>
      <c r="E13" s="1">
        <v>256</v>
      </c>
      <c r="F13" s="1">
        <v>14919.1</v>
      </c>
    </row>
    <row r="14" spans="1:6" x14ac:dyDescent="0.25">
      <c r="A14" s="1">
        <v>12750</v>
      </c>
      <c r="B14" s="1" t="s">
        <v>8</v>
      </c>
      <c r="C14" s="1">
        <v>0</v>
      </c>
      <c r="D14" s="1">
        <v>14919.1</v>
      </c>
      <c r="E14" s="1">
        <v>0</v>
      </c>
      <c r="F14" s="1">
        <v>14919.1</v>
      </c>
    </row>
    <row r="15" spans="1:6" x14ac:dyDescent="0.25">
      <c r="A15" s="1">
        <v>12800</v>
      </c>
      <c r="B15" s="1" t="s">
        <v>8</v>
      </c>
      <c r="C15" s="1">
        <v>0</v>
      </c>
      <c r="D15" s="1">
        <v>14919.1</v>
      </c>
      <c r="E15" s="1">
        <v>218</v>
      </c>
      <c r="F15" s="1">
        <v>14919.1</v>
      </c>
    </row>
    <row r="16" spans="1:6" x14ac:dyDescent="0.25">
      <c r="A16" s="1">
        <v>12850</v>
      </c>
      <c r="B16" s="1" t="s">
        <v>8</v>
      </c>
      <c r="C16" s="1">
        <v>0</v>
      </c>
      <c r="D16" s="1">
        <v>14919.1</v>
      </c>
      <c r="E16" s="1">
        <v>2</v>
      </c>
      <c r="F16" s="1">
        <v>14919.1</v>
      </c>
    </row>
    <row r="17" spans="1:6" x14ac:dyDescent="0.25">
      <c r="A17" s="1">
        <v>12900</v>
      </c>
      <c r="B17" s="1" t="s">
        <v>8</v>
      </c>
      <c r="C17" s="1">
        <v>0</v>
      </c>
      <c r="D17" s="1">
        <v>14919.1</v>
      </c>
      <c r="E17" s="1">
        <v>109</v>
      </c>
      <c r="F17" s="1">
        <v>14919.1</v>
      </c>
    </row>
    <row r="18" spans="1:6" x14ac:dyDescent="0.25">
      <c r="A18" s="1">
        <v>12950</v>
      </c>
      <c r="B18" s="1" t="s">
        <v>8</v>
      </c>
      <c r="C18" s="1">
        <v>0</v>
      </c>
      <c r="D18" s="1">
        <v>14919.1</v>
      </c>
      <c r="E18" s="1">
        <v>-3</v>
      </c>
      <c r="F18" s="1">
        <v>14919.1</v>
      </c>
    </row>
    <row r="19" spans="1:6" x14ac:dyDescent="0.25">
      <c r="A19" s="1">
        <v>13000</v>
      </c>
      <c r="B19" s="1" t="s">
        <v>8</v>
      </c>
      <c r="C19" s="1">
        <v>7</v>
      </c>
      <c r="D19" s="1">
        <v>14919.1</v>
      </c>
      <c r="E19" s="1">
        <v>-958</v>
      </c>
      <c r="F19" s="1">
        <v>14919.1</v>
      </c>
    </row>
    <row r="20" spans="1:6" x14ac:dyDescent="0.25">
      <c r="A20" s="1">
        <v>13050</v>
      </c>
      <c r="B20" s="1" t="s">
        <v>8</v>
      </c>
      <c r="C20" s="1">
        <v>0</v>
      </c>
      <c r="D20" s="1">
        <v>14919.1</v>
      </c>
      <c r="E20" s="1">
        <v>9</v>
      </c>
      <c r="F20" s="1">
        <v>14919.1</v>
      </c>
    </row>
    <row r="21" spans="1:6" x14ac:dyDescent="0.25">
      <c r="A21" s="1">
        <v>13100</v>
      </c>
      <c r="B21" s="1" t="s">
        <v>8</v>
      </c>
      <c r="C21" s="1">
        <v>0</v>
      </c>
      <c r="D21" s="1">
        <v>14919.1</v>
      </c>
      <c r="E21" s="1">
        <v>-218</v>
      </c>
      <c r="F21" s="1">
        <v>14919.1</v>
      </c>
    </row>
    <row r="22" spans="1:6" x14ac:dyDescent="0.25">
      <c r="A22" s="1">
        <v>13150</v>
      </c>
      <c r="B22" s="1" t="s">
        <v>8</v>
      </c>
      <c r="C22" s="1">
        <v>0</v>
      </c>
      <c r="D22" s="1">
        <v>14919.1</v>
      </c>
      <c r="E22" s="1">
        <v>3</v>
      </c>
      <c r="F22" s="1">
        <v>14919.1</v>
      </c>
    </row>
    <row r="23" spans="1:6" x14ac:dyDescent="0.25">
      <c r="A23" s="1">
        <v>13200</v>
      </c>
      <c r="B23" s="1" t="s">
        <v>8</v>
      </c>
      <c r="C23" s="1">
        <v>0</v>
      </c>
      <c r="D23" s="1">
        <v>14919.1</v>
      </c>
      <c r="E23" s="1">
        <v>-264</v>
      </c>
      <c r="F23" s="1">
        <v>14919.1</v>
      </c>
    </row>
    <row r="24" spans="1:6" x14ac:dyDescent="0.25">
      <c r="A24" s="1">
        <v>13250</v>
      </c>
      <c r="B24" s="1" t="s">
        <v>8</v>
      </c>
      <c r="C24" s="1">
        <v>0</v>
      </c>
      <c r="D24" s="1">
        <v>14919.1</v>
      </c>
      <c r="E24" s="1">
        <v>31</v>
      </c>
      <c r="F24" s="1">
        <v>14919.1</v>
      </c>
    </row>
    <row r="25" spans="1:6" x14ac:dyDescent="0.25">
      <c r="A25" s="1">
        <v>13300</v>
      </c>
      <c r="B25" s="1" t="s">
        <v>8</v>
      </c>
      <c r="C25" s="1">
        <v>0</v>
      </c>
      <c r="D25" s="1">
        <v>14919.1</v>
      </c>
      <c r="E25" s="1">
        <v>112</v>
      </c>
      <c r="F25" s="1">
        <v>14919.1</v>
      </c>
    </row>
    <row r="26" spans="1:6" x14ac:dyDescent="0.25">
      <c r="A26" s="1">
        <v>13350</v>
      </c>
      <c r="B26" s="1" t="s">
        <v>8</v>
      </c>
      <c r="C26" s="1">
        <v>0</v>
      </c>
      <c r="D26" s="1">
        <v>14919.1</v>
      </c>
      <c r="E26" s="1">
        <v>26</v>
      </c>
      <c r="F26" s="1">
        <v>14919.1</v>
      </c>
    </row>
    <row r="27" spans="1:6" x14ac:dyDescent="0.25">
      <c r="A27" s="1">
        <v>13400</v>
      </c>
      <c r="B27" s="1" t="s">
        <v>8</v>
      </c>
      <c r="C27" s="1">
        <v>0</v>
      </c>
      <c r="D27" s="1">
        <v>14919.1</v>
      </c>
      <c r="E27" s="1">
        <v>605</v>
      </c>
      <c r="F27" s="1">
        <v>14919.1</v>
      </c>
    </row>
    <row r="28" spans="1:6" x14ac:dyDescent="0.25">
      <c r="A28" s="1">
        <v>13450</v>
      </c>
      <c r="B28" s="1" t="s">
        <v>8</v>
      </c>
      <c r="C28" s="1">
        <v>0</v>
      </c>
      <c r="D28" s="1">
        <v>14919.1</v>
      </c>
      <c r="E28" s="1">
        <v>-15</v>
      </c>
      <c r="F28" s="1">
        <v>14919.1</v>
      </c>
    </row>
    <row r="29" spans="1:6" x14ac:dyDescent="0.25">
      <c r="A29" s="1">
        <v>13500</v>
      </c>
      <c r="B29" s="1" t="s">
        <v>8</v>
      </c>
      <c r="C29" s="1">
        <v>259</v>
      </c>
      <c r="D29" s="1">
        <v>14919.1</v>
      </c>
      <c r="E29" s="1">
        <v>-2500</v>
      </c>
      <c r="F29" s="1">
        <v>14919.1</v>
      </c>
    </row>
    <row r="30" spans="1:6" x14ac:dyDescent="0.25">
      <c r="A30" s="1">
        <v>13550</v>
      </c>
      <c r="B30" s="1" t="s">
        <v>8</v>
      </c>
      <c r="C30" s="1">
        <v>0</v>
      </c>
      <c r="D30" s="1">
        <v>14919.1</v>
      </c>
      <c r="E30" s="1">
        <v>25</v>
      </c>
      <c r="F30" s="1">
        <v>14919.1</v>
      </c>
    </row>
    <row r="31" spans="1:6" x14ac:dyDescent="0.25">
      <c r="A31" s="1">
        <v>13600</v>
      </c>
      <c r="B31" s="1" t="s">
        <v>8</v>
      </c>
      <c r="C31" s="1">
        <v>0</v>
      </c>
      <c r="D31" s="1">
        <v>14919.1</v>
      </c>
      <c r="E31" s="1">
        <v>-40</v>
      </c>
      <c r="F31" s="1">
        <v>14919.1</v>
      </c>
    </row>
    <row r="32" spans="1:6" x14ac:dyDescent="0.25">
      <c r="A32" s="1">
        <v>13650</v>
      </c>
      <c r="B32" s="1" t="s">
        <v>8</v>
      </c>
      <c r="C32" s="1">
        <v>0</v>
      </c>
      <c r="D32" s="1">
        <v>14919.1</v>
      </c>
      <c r="E32" s="1">
        <v>147</v>
      </c>
      <c r="F32" s="1">
        <v>14919.1</v>
      </c>
    </row>
    <row r="33" spans="1:6" x14ac:dyDescent="0.25">
      <c r="A33" s="1">
        <v>13700</v>
      </c>
      <c r="B33" s="1" t="s">
        <v>8</v>
      </c>
      <c r="C33" s="1">
        <v>0</v>
      </c>
      <c r="D33" s="1">
        <v>14919.1</v>
      </c>
      <c r="E33" s="1">
        <v>62</v>
      </c>
      <c r="F33" s="1">
        <v>14919.1</v>
      </c>
    </row>
    <row r="34" spans="1:6" x14ac:dyDescent="0.25">
      <c r="A34">
        <v>13750</v>
      </c>
      <c r="B34" t="s">
        <v>8</v>
      </c>
      <c r="C34">
        <v>0</v>
      </c>
      <c r="D34">
        <v>14919.1</v>
      </c>
      <c r="E34">
        <v>-40</v>
      </c>
      <c r="F34">
        <v>14919.1</v>
      </c>
    </row>
    <row r="35" spans="1:6" x14ac:dyDescent="0.25">
      <c r="A35">
        <v>13800</v>
      </c>
      <c r="B35" t="s">
        <v>8</v>
      </c>
      <c r="C35">
        <v>-3</v>
      </c>
      <c r="D35">
        <v>14919.1</v>
      </c>
      <c r="E35">
        <v>-81</v>
      </c>
      <c r="F35">
        <v>14919.1</v>
      </c>
    </row>
    <row r="36" spans="1:6" x14ac:dyDescent="0.25">
      <c r="A36">
        <v>13850</v>
      </c>
      <c r="B36" t="s">
        <v>8</v>
      </c>
      <c r="C36">
        <v>1</v>
      </c>
      <c r="D36">
        <v>14919.1</v>
      </c>
      <c r="E36">
        <v>-71</v>
      </c>
      <c r="F36">
        <v>14919.1</v>
      </c>
    </row>
    <row r="37" spans="1:6" x14ac:dyDescent="0.25">
      <c r="A37">
        <v>13900</v>
      </c>
      <c r="B37" t="s">
        <v>8</v>
      </c>
      <c r="C37">
        <v>-1</v>
      </c>
      <c r="D37">
        <v>14919.1</v>
      </c>
      <c r="E37">
        <v>-735</v>
      </c>
      <c r="F37">
        <v>14919.1</v>
      </c>
    </row>
    <row r="38" spans="1:6" x14ac:dyDescent="0.25">
      <c r="A38">
        <v>13950</v>
      </c>
      <c r="B38" t="s">
        <v>8</v>
      </c>
      <c r="C38">
        <v>0</v>
      </c>
      <c r="D38">
        <v>14919.1</v>
      </c>
      <c r="E38">
        <v>-514</v>
      </c>
      <c r="F38">
        <v>14919.1</v>
      </c>
    </row>
    <row r="39" spans="1:6" x14ac:dyDescent="0.25">
      <c r="A39">
        <v>14000</v>
      </c>
      <c r="B39" t="s">
        <v>8</v>
      </c>
      <c r="C39">
        <v>-22</v>
      </c>
      <c r="D39">
        <v>14919.1</v>
      </c>
      <c r="E39">
        <v>1938</v>
      </c>
      <c r="F39">
        <v>14919.1</v>
      </c>
    </row>
    <row r="40" spans="1:6" x14ac:dyDescent="0.25">
      <c r="A40">
        <v>14050</v>
      </c>
      <c r="B40" t="s">
        <v>8</v>
      </c>
      <c r="C40">
        <v>1</v>
      </c>
      <c r="D40">
        <v>14919.1</v>
      </c>
      <c r="E40">
        <v>-88</v>
      </c>
      <c r="F40">
        <v>14919.1</v>
      </c>
    </row>
    <row r="41" spans="1:6" x14ac:dyDescent="0.25">
      <c r="A41">
        <v>14100</v>
      </c>
      <c r="B41" t="s">
        <v>8</v>
      </c>
      <c r="C41">
        <v>4</v>
      </c>
      <c r="D41">
        <v>14919.1</v>
      </c>
      <c r="E41">
        <v>881</v>
      </c>
      <c r="F41">
        <v>14919.1</v>
      </c>
    </row>
    <row r="42" spans="1:6" x14ac:dyDescent="0.25">
      <c r="A42">
        <v>14150</v>
      </c>
      <c r="B42" t="s">
        <v>8</v>
      </c>
      <c r="C42">
        <v>-2</v>
      </c>
      <c r="D42">
        <v>14919.1</v>
      </c>
      <c r="E42">
        <v>122</v>
      </c>
      <c r="F42">
        <v>14919.1</v>
      </c>
    </row>
    <row r="43" spans="1:6" x14ac:dyDescent="0.25">
      <c r="A43">
        <v>14200</v>
      </c>
      <c r="B43" t="s">
        <v>8</v>
      </c>
      <c r="C43">
        <v>-25</v>
      </c>
      <c r="D43">
        <v>14919.1</v>
      </c>
      <c r="E43">
        <v>2604</v>
      </c>
      <c r="F43">
        <v>14919.1</v>
      </c>
    </row>
    <row r="44" spans="1:6" x14ac:dyDescent="0.25">
      <c r="A44">
        <v>14250</v>
      </c>
      <c r="B44" t="s">
        <v>8</v>
      </c>
      <c r="C44">
        <v>-20</v>
      </c>
      <c r="D44">
        <v>14919.1</v>
      </c>
      <c r="E44">
        <v>150</v>
      </c>
      <c r="F44">
        <v>14919.1</v>
      </c>
    </row>
    <row r="45" spans="1:6" x14ac:dyDescent="0.25">
      <c r="A45">
        <v>14300</v>
      </c>
      <c r="B45" t="s">
        <v>8</v>
      </c>
      <c r="C45">
        <v>11</v>
      </c>
      <c r="D45">
        <v>14919.1</v>
      </c>
      <c r="E45">
        <v>371</v>
      </c>
      <c r="F45">
        <v>14919.1</v>
      </c>
    </row>
    <row r="46" spans="1:6" x14ac:dyDescent="0.25">
      <c r="A46">
        <v>14350</v>
      </c>
      <c r="B46" t="s">
        <v>8</v>
      </c>
      <c r="C46">
        <v>18</v>
      </c>
      <c r="D46">
        <v>14919.1</v>
      </c>
      <c r="E46">
        <v>350</v>
      </c>
      <c r="F46">
        <v>14919.1</v>
      </c>
    </row>
    <row r="47" spans="1:6" x14ac:dyDescent="0.25">
      <c r="A47">
        <v>14400</v>
      </c>
      <c r="B47" t="s">
        <v>8</v>
      </c>
      <c r="C47">
        <v>-33</v>
      </c>
      <c r="D47">
        <v>14919.1</v>
      </c>
      <c r="E47">
        <v>-434</v>
      </c>
      <c r="F47">
        <v>14919.1</v>
      </c>
    </row>
    <row r="48" spans="1:6" x14ac:dyDescent="0.25">
      <c r="A48">
        <v>14450</v>
      </c>
      <c r="B48" t="s">
        <v>8</v>
      </c>
      <c r="C48">
        <v>-55</v>
      </c>
      <c r="D48">
        <v>14919.1</v>
      </c>
      <c r="E48">
        <v>1703</v>
      </c>
      <c r="F48">
        <v>14919.1</v>
      </c>
    </row>
    <row r="49" spans="1:6" x14ac:dyDescent="0.25">
      <c r="A49">
        <v>14500</v>
      </c>
      <c r="B49" t="s">
        <v>8</v>
      </c>
      <c r="C49">
        <v>-436</v>
      </c>
      <c r="D49">
        <v>14919.1</v>
      </c>
      <c r="E49">
        <v>3791</v>
      </c>
      <c r="F49">
        <v>14919.1</v>
      </c>
    </row>
    <row r="50" spans="1:6" x14ac:dyDescent="0.25">
      <c r="A50">
        <v>14550</v>
      </c>
      <c r="B50" t="s">
        <v>8</v>
      </c>
      <c r="C50">
        <v>-47</v>
      </c>
      <c r="D50">
        <v>14919.1</v>
      </c>
      <c r="E50">
        <v>2100</v>
      </c>
      <c r="F50">
        <v>14919.1</v>
      </c>
    </row>
    <row r="51" spans="1:6" x14ac:dyDescent="0.25">
      <c r="A51">
        <v>14600</v>
      </c>
      <c r="B51" t="s">
        <v>8</v>
      </c>
      <c r="C51">
        <v>-2136</v>
      </c>
      <c r="D51">
        <v>14919.1</v>
      </c>
      <c r="E51">
        <v>5396</v>
      </c>
      <c r="F51">
        <v>14919.1</v>
      </c>
    </row>
    <row r="52" spans="1:6" x14ac:dyDescent="0.25">
      <c r="A52">
        <v>14650</v>
      </c>
      <c r="B52" t="s">
        <v>8</v>
      </c>
      <c r="C52">
        <v>-329</v>
      </c>
      <c r="D52">
        <v>14919.1</v>
      </c>
      <c r="E52">
        <v>3009</v>
      </c>
      <c r="F52">
        <v>14919.1</v>
      </c>
    </row>
    <row r="53" spans="1:6" x14ac:dyDescent="0.25">
      <c r="A53">
        <v>14700</v>
      </c>
      <c r="B53" t="s">
        <v>8</v>
      </c>
      <c r="C53">
        <v>-3287</v>
      </c>
      <c r="D53">
        <v>14919.1</v>
      </c>
      <c r="E53">
        <v>7196</v>
      </c>
      <c r="F53">
        <v>14919.1</v>
      </c>
    </row>
    <row r="54" spans="1:6" x14ac:dyDescent="0.25">
      <c r="A54">
        <v>14750</v>
      </c>
      <c r="B54" t="s">
        <v>8</v>
      </c>
      <c r="C54">
        <v>-1646</v>
      </c>
      <c r="D54">
        <v>14919.1</v>
      </c>
      <c r="E54">
        <v>2972</v>
      </c>
      <c r="F54">
        <v>14919.1</v>
      </c>
    </row>
    <row r="55" spans="1:6" x14ac:dyDescent="0.25">
      <c r="A55">
        <v>14800</v>
      </c>
      <c r="B55" t="s">
        <v>8</v>
      </c>
      <c r="C55">
        <v>2649</v>
      </c>
      <c r="D55">
        <v>14919.1</v>
      </c>
      <c r="E55">
        <v>19760</v>
      </c>
      <c r="F55">
        <v>14919.1</v>
      </c>
    </row>
    <row r="56" spans="1:6" x14ac:dyDescent="0.25">
      <c r="A56">
        <v>14850</v>
      </c>
      <c r="B56" t="s">
        <v>8</v>
      </c>
      <c r="C56">
        <v>6330</v>
      </c>
      <c r="D56">
        <v>14919.1</v>
      </c>
      <c r="E56">
        <v>5002</v>
      </c>
      <c r="F56">
        <v>14919.1</v>
      </c>
    </row>
    <row r="57" spans="1:6" x14ac:dyDescent="0.25">
      <c r="A57">
        <v>14900</v>
      </c>
      <c r="B57" t="s">
        <v>8</v>
      </c>
      <c r="C57">
        <v>14565</v>
      </c>
      <c r="D57">
        <v>14919.1</v>
      </c>
      <c r="E57">
        <v>8846</v>
      </c>
      <c r="F57">
        <v>14919.1</v>
      </c>
    </row>
    <row r="58" spans="1:6" x14ac:dyDescent="0.25">
      <c r="A58">
        <v>14950</v>
      </c>
      <c r="B58" t="s">
        <v>8</v>
      </c>
      <c r="C58">
        <v>6197</v>
      </c>
      <c r="D58">
        <v>14919.1</v>
      </c>
      <c r="E58">
        <v>1034</v>
      </c>
      <c r="F58">
        <v>14919.1</v>
      </c>
    </row>
    <row r="59" spans="1:6" x14ac:dyDescent="0.25">
      <c r="A59">
        <v>15000</v>
      </c>
      <c r="B59" t="s">
        <v>8</v>
      </c>
      <c r="C59">
        <v>19423</v>
      </c>
      <c r="D59">
        <v>14919.1</v>
      </c>
      <c r="E59">
        <v>2112</v>
      </c>
      <c r="F59">
        <v>14919.1</v>
      </c>
    </row>
    <row r="60" spans="1:6" x14ac:dyDescent="0.25">
      <c r="A60">
        <v>15050</v>
      </c>
      <c r="B60" t="s">
        <v>8</v>
      </c>
      <c r="C60">
        <v>6421</v>
      </c>
      <c r="D60">
        <v>14919.1</v>
      </c>
      <c r="E60">
        <v>67</v>
      </c>
      <c r="F60">
        <v>14919.1</v>
      </c>
    </row>
    <row r="61" spans="1:6" x14ac:dyDescent="0.25">
      <c r="A61">
        <v>15100</v>
      </c>
      <c r="B61" t="s">
        <v>8</v>
      </c>
      <c r="C61">
        <v>15604</v>
      </c>
      <c r="D61">
        <v>14919.1</v>
      </c>
      <c r="E61">
        <v>333</v>
      </c>
      <c r="F61">
        <v>14919.1</v>
      </c>
    </row>
    <row r="62" spans="1:6" x14ac:dyDescent="0.25">
      <c r="A62">
        <v>15150</v>
      </c>
      <c r="B62" t="s">
        <v>8</v>
      </c>
      <c r="C62">
        <v>2591</v>
      </c>
      <c r="D62">
        <v>14919.1</v>
      </c>
      <c r="E62">
        <v>28</v>
      </c>
      <c r="F62">
        <v>14919.1</v>
      </c>
    </row>
    <row r="63" spans="1:6" x14ac:dyDescent="0.25">
      <c r="A63">
        <v>15200</v>
      </c>
      <c r="B63" t="s">
        <v>8</v>
      </c>
      <c r="C63">
        <v>12141</v>
      </c>
      <c r="D63">
        <v>14919.1</v>
      </c>
      <c r="E63">
        <v>113</v>
      </c>
      <c r="F63">
        <v>14919.1</v>
      </c>
    </row>
    <row r="64" spans="1:6" x14ac:dyDescent="0.25">
      <c r="A64">
        <v>15250</v>
      </c>
      <c r="B64" t="s">
        <v>8</v>
      </c>
      <c r="C64">
        <v>4179</v>
      </c>
      <c r="D64">
        <v>14919.1</v>
      </c>
      <c r="E64">
        <v>21</v>
      </c>
      <c r="F64">
        <v>14919.1</v>
      </c>
    </row>
    <row r="65" spans="1:6" x14ac:dyDescent="0.25">
      <c r="A65">
        <v>15300</v>
      </c>
      <c r="B65" t="s">
        <v>8</v>
      </c>
      <c r="C65">
        <v>-2728</v>
      </c>
      <c r="D65">
        <v>14919.1</v>
      </c>
      <c r="E65">
        <v>-27</v>
      </c>
      <c r="F65">
        <v>14919.1</v>
      </c>
    </row>
    <row r="66" spans="1:6" x14ac:dyDescent="0.25">
      <c r="A66">
        <v>15350</v>
      </c>
      <c r="B66" t="s">
        <v>8</v>
      </c>
      <c r="C66">
        <v>1823</v>
      </c>
      <c r="D66">
        <v>14919.1</v>
      </c>
      <c r="E66">
        <v>-5</v>
      </c>
      <c r="F66">
        <v>14919.1</v>
      </c>
    </row>
    <row r="67" spans="1:6" x14ac:dyDescent="0.25">
      <c r="A67">
        <v>15400</v>
      </c>
      <c r="B67" t="s">
        <v>8</v>
      </c>
      <c r="C67">
        <v>-6325</v>
      </c>
      <c r="D67">
        <v>14919.1</v>
      </c>
      <c r="E67">
        <v>-1</v>
      </c>
      <c r="F67">
        <v>14919.1</v>
      </c>
    </row>
    <row r="68" spans="1:6" x14ac:dyDescent="0.25">
      <c r="A68">
        <v>15450</v>
      </c>
      <c r="B68" t="s">
        <v>8</v>
      </c>
      <c r="C68">
        <v>88</v>
      </c>
      <c r="D68">
        <v>14919.1</v>
      </c>
      <c r="E68">
        <v>0</v>
      </c>
      <c r="F68">
        <v>14919.1</v>
      </c>
    </row>
    <row r="69" spans="1:6" x14ac:dyDescent="0.25">
      <c r="A69">
        <v>15500</v>
      </c>
      <c r="B69" t="s">
        <v>8</v>
      </c>
      <c r="C69">
        <v>-1969</v>
      </c>
      <c r="D69">
        <v>14919.1</v>
      </c>
      <c r="E69">
        <v>-566</v>
      </c>
      <c r="F69">
        <v>14919.1</v>
      </c>
    </row>
    <row r="70" spans="1:6" x14ac:dyDescent="0.25">
      <c r="A70">
        <v>15550</v>
      </c>
      <c r="B70" t="s">
        <v>8</v>
      </c>
      <c r="C70">
        <v>70</v>
      </c>
      <c r="D70">
        <v>14919.1</v>
      </c>
      <c r="E70">
        <v>-2</v>
      </c>
      <c r="F70">
        <v>14919.1</v>
      </c>
    </row>
    <row r="71" spans="1:6" x14ac:dyDescent="0.25">
      <c r="A71">
        <v>15600</v>
      </c>
      <c r="B71" t="s">
        <v>8</v>
      </c>
      <c r="C71">
        <v>7124</v>
      </c>
      <c r="D71">
        <v>14919.1</v>
      </c>
      <c r="E71">
        <v>13</v>
      </c>
      <c r="F71">
        <v>14919.1</v>
      </c>
    </row>
    <row r="72" spans="1:6" x14ac:dyDescent="0.25">
      <c r="A72">
        <v>15650</v>
      </c>
      <c r="B72" t="s">
        <v>8</v>
      </c>
      <c r="C72">
        <v>157</v>
      </c>
      <c r="D72">
        <v>14919.1</v>
      </c>
      <c r="E72">
        <v>0</v>
      </c>
      <c r="F72">
        <v>14919.1</v>
      </c>
    </row>
    <row r="73" spans="1:6" x14ac:dyDescent="0.25">
      <c r="A73">
        <v>15700</v>
      </c>
      <c r="B73" t="s">
        <v>8</v>
      </c>
      <c r="C73">
        <v>-1442</v>
      </c>
      <c r="D73">
        <v>14919.1</v>
      </c>
      <c r="E73">
        <v>-9</v>
      </c>
      <c r="F73">
        <v>14919.1</v>
      </c>
    </row>
    <row r="74" spans="1:6" x14ac:dyDescent="0.25">
      <c r="A74">
        <v>15750</v>
      </c>
      <c r="B74" t="s">
        <v>8</v>
      </c>
      <c r="C74">
        <v>-28</v>
      </c>
      <c r="D74">
        <v>14919.1</v>
      </c>
      <c r="E74">
        <v>0</v>
      </c>
      <c r="F74">
        <v>14919.1</v>
      </c>
    </row>
    <row r="75" spans="1:6" x14ac:dyDescent="0.25">
      <c r="A75">
        <v>15800</v>
      </c>
      <c r="B75" t="s">
        <v>8</v>
      </c>
      <c r="C75">
        <v>-4856</v>
      </c>
      <c r="D75">
        <v>14919.1</v>
      </c>
      <c r="E75">
        <v>16</v>
      </c>
      <c r="F75">
        <v>14919.1</v>
      </c>
    </row>
    <row r="76" spans="1:6" x14ac:dyDescent="0.25">
      <c r="A76">
        <v>15850</v>
      </c>
      <c r="B76" t="s">
        <v>8</v>
      </c>
      <c r="C76">
        <v>-4</v>
      </c>
      <c r="D76">
        <v>14919.1</v>
      </c>
      <c r="E76">
        <v>1</v>
      </c>
      <c r="F76">
        <v>14919.1</v>
      </c>
    </row>
    <row r="77" spans="1:6" x14ac:dyDescent="0.25">
      <c r="A77">
        <v>15900</v>
      </c>
      <c r="B77" t="s">
        <v>8</v>
      </c>
      <c r="C77">
        <v>-4577</v>
      </c>
      <c r="D77">
        <v>14919.1</v>
      </c>
      <c r="E77">
        <v>1</v>
      </c>
      <c r="F77">
        <v>14919.1</v>
      </c>
    </row>
    <row r="78" spans="1:6" x14ac:dyDescent="0.25">
      <c r="A78">
        <v>15950</v>
      </c>
      <c r="B78" t="s">
        <v>8</v>
      </c>
      <c r="C78">
        <v>88</v>
      </c>
      <c r="D78">
        <v>14919.1</v>
      </c>
      <c r="E78">
        <v>-1</v>
      </c>
      <c r="F78">
        <v>14919.1</v>
      </c>
    </row>
    <row r="79" spans="1:6" x14ac:dyDescent="0.25">
      <c r="A79">
        <v>16000</v>
      </c>
      <c r="B79" t="s">
        <v>8</v>
      </c>
      <c r="C79">
        <v>-2762</v>
      </c>
      <c r="D79">
        <v>14919.1</v>
      </c>
      <c r="E79">
        <v>6</v>
      </c>
      <c r="F79">
        <v>14919.1</v>
      </c>
    </row>
    <row r="80" spans="1:6" x14ac:dyDescent="0.25">
      <c r="A80">
        <v>16050</v>
      </c>
      <c r="B80" t="s">
        <v>8</v>
      </c>
      <c r="C80">
        <v>-29</v>
      </c>
      <c r="D80">
        <v>14919.1</v>
      </c>
      <c r="E80">
        <v>0</v>
      </c>
      <c r="F80">
        <v>14919.1</v>
      </c>
    </row>
    <row r="81" spans="1:6" x14ac:dyDescent="0.25">
      <c r="A81">
        <v>16100</v>
      </c>
      <c r="B81" t="s">
        <v>8</v>
      </c>
      <c r="C81">
        <v>-421</v>
      </c>
      <c r="D81">
        <v>14919.1</v>
      </c>
      <c r="E81">
        <v>1</v>
      </c>
      <c r="F81">
        <v>14919.1</v>
      </c>
    </row>
    <row r="82" spans="1:6" x14ac:dyDescent="0.25">
      <c r="A82">
        <v>16150</v>
      </c>
      <c r="B82" t="s">
        <v>8</v>
      </c>
      <c r="C82">
        <v>4</v>
      </c>
      <c r="D82">
        <v>14919.1</v>
      </c>
      <c r="E82">
        <v>0</v>
      </c>
      <c r="F82">
        <v>14919.1</v>
      </c>
    </row>
    <row r="83" spans="1:6" x14ac:dyDescent="0.25">
      <c r="A83">
        <v>16200</v>
      </c>
      <c r="B83" t="s">
        <v>8</v>
      </c>
      <c r="C83">
        <v>-1959</v>
      </c>
      <c r="D83">
        <v>14919.1</v>
      </c>
      <c r="E83">
        <v>0</v>
      </c>
      <c r="F83">
        <v>14919.1</v>
      </c>
    </row>
    <row r="84" spans="1:6" x14ac:dyDescent="0.25">
      <c r="A84">
        <v>16250</v>
      </c>
      <c r="B84" t="s">
        <v>8</v>
      </c>
      <c r="C84">
        <v>-1</v>
      </c>
      <c r="D84">
        <v>14919.1</v>
      </c>
      <c r="E84">
        <v>0</v>
      </c>
      <c r="F84">
        <v>14919.1</v>
      </c>
    </row>
    <row r="85" spans="1:6" x14ac:dyDescent="0.25">
      <c r="A85">
        <v>16300</v>
      </c>
      <c r="B85" t="s">
        <v>8</v>
      </c>
      <c r="C85">
        <v>-698</v>
      </c>
      <c r="D85">
        <v>14919.1</v>
      </c>
      <c r="E85">
        <v>0</v>
      </c>
      <c r="F85">
        <v>14919.1</v>
      </c>
    </row>
    <row r="86" spans="1:6" x14ac:dyDescent="0.25">
      <c r="A86">
        <v>16350</v>
      </c>
      <c r="B86" t="s">
        <v>8</v>
      </c>
      <c r="C86">
        <v>0</v>
      </c>
      <c r="D86">
        <v>14919.1</v>
      </c>
      <c r="E86">
        <v>0</v>
      </c>
      <c r="F86">
        <v>14919.1</v>
      </c>
    </row>
    <row r="87" spans="1:6" x14ac:dyDescent="0.25">
      <c r="A87">
        <v>16400</v>
      </c>
      <c r="B87" t="s">
        <v>8</v>
      </c>
      <c r="C87">
        <v>-311</v>
      </c>
      <c r="D87">
        <v>14919.1</v>
      </c>
      <c r="E87">
        <v>0</v>
      </c>
      <c r="F87">
        <v>14919.1</v>
      </c>
    </row>
    <row r="88" spans="1:6" x14ac:dyDescent="0.25">
      <c r="A88">
        <v>16450</v>
      </c>
      <c r="B88" t="s">
        <v>8</v>
      </c>
      <c r="C88">
        <v>15</v>
      </c>
      <c r="D88">
        <v>14919.1</v>
      </c>
      <c r="E88">
        <v>0</v>
      </c>
      <c r="F88">
        <v>14919.1</v>
      </c>
    </row>
    <row r="89" spans="1:6" x14ac:dyDescent="0.25">
      <c r="A89">
        <v>16500</v>
      </c>
      <c r="B89" t="s">
        <v>8</v>
      </c>
      <c r="C89">
        <v>-2598</v>
      </c>
      <c r="D89">
        <v>14919.1</v>
      </c>
      <c r="E89">
        <v>0</v>
      </c>
      <c r="F89">
        <v>14919.1</v>
      </c>
    </row>
    <row r="90" spans="1:6" x14ac:dyDescent="0.25">
      <c r="A90">
        <v>16550</v>
      </c>
      <c r="B90" t="s">
        <v>8</v>
      </c>
      <c r="C90">
        <v>3</v>
      </c>
      <c r="D90">
        <v>14919.1</v>
      </c>
      <c r="E90">
        <v>0</v>
      </c>
      <c r="F90">
        <v>14919.1</v>
      </c>
    </row>
    <row r="91" spans="1:6" x14ac:dyDescent="0.25">
      <c r="A91">
        <v>16600</v>
      </c>
      <c r="B91" t="s">
        <v>8</v>
      </c>
      <c r="C91">
        <v>-57</v>
      </c>
      <c r="D91">
        <v>14919.1</v>
      </c>
      <c r="E91">
        <v>0</v>
      </c>
      <c r="F91">
        <v>14919.1</v>
      </c>
    </row>
    <row r="92" spans="1:6" x14ac:dyDescent="0.25">
      <c r="A92">
        <v>16650</v>
      </c>
      <c r="B92" t="s">
        <v>8</v>
      </c>
      <c r="C92">
        <v>157</v>
      </c>
      <c r="D92">
        <v>14919.1</v>
      </c>
      <c r="E92">
        <v>0</v>
      </c>
      <c r="F92">
        <v>14919.1</v>
      </c>
    </row>
    <row r="93" spans="1:6" x14ac:dyDescent="0.25">
      <c r="A93">
        <v>16700</v>
      </c>
      <c r="B93" t="s">
        <v>8</v>
      </c>
      <c r="C93">
        <v>-119</v>
      </c>
      <c r="D93">
        <v>14919.1</v>
      </c>
      <c r="E93">
        <v>0</v>
      </c>
      <c r="F93">
        <v>14919.1</v>
      </c>
    </row>
    <row r="94" spans="1:6" x14ac:dyDescent="0.25">
      <c r="A94">
        <v>16750</v>
      </c>
      <c r="B94" t="s">
        <v>8</v>
      </c>
      <c r="C94">
        <v>2</v>
      </c>
      <c r="D94">
        <v>14919.1</v>
      </c>
      <c r="E94">
        <v>0</v>
      </c>
      <c r="F94">
        <v>14919.1</v>
      </c>
    </row>
    <row r="95" spans="1:6" x14ac:dyDescent="0.25">
      <c r="A95">
        <v>16800</v>
      </c>
      <c r="B95" t="s">
        <v>8</v>
      </c>
      <c r="C95">
        <v>786</v>
      </c>
      <c r="D95">
        <v>14919.1</v>
      </c>
      <c r="E95">
        <v>0</v>
      </c>
      <c r="F95">
        <v>14919.1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70308-22B1-4CA4-BA52-632EB64BC1F9}">
  <sheetPr codeName="Sheet3"/>
  <dimension ref="B1:E16"/>
  <sheetViews>
    <sheetView topLeftCell="B1" workbookViewId="0">
      <selection activeCell="C16" sqref="C16:E16"/>
    </sheetView>
  </sheetViews>
  <sheetFormatPr defaultRowHeight="15" x14ac:dyDescent="0.25"/>
  <cols>
    <col min="3" max="3" width="14.85546875" bestFit="1" customWidth="1"/>
  </cols>
  <sheetData>
    <row r="1" spans="2:5" x14ac:dyDescent="0.25">
      <c r="C1" s="4" t="s">
        <v>9</v>
      </c>
      <c r="D1" s="4" t="s">
        <v>10</v>
      </c>
    </row>
    <row r="2" spans="2:5" x14ac:dyDescent="0.25">
      <c r="B2">
        <f t="shared" ref="B2:B6" si="0">B3+50</f>
        <v>15200</v>
      </c>
      <c r="C2">
        <f>VLOOKUP(B2,Data[],3,0)</f>
        <v>12141</v>
      </c>
      <c r="D2">
        <f>VLOOKUP(B2,Data[],5,0)</f>
        <v>113</v>
      </c>
    </row>
    <row r="3" spans="2:5" x14ac:dyDescent="0.25">
      <c r="B3">
        <f t="shared" si="0"/>
        <v>15150</v>
      </c>
      <c r="C3">
        <f>VLOOKUP(B3,Data[],3,0)</f>
        <v>2591</v>
      </c>
      <c r="D3">
        <f>VLOOKUP(B3,Data[],5,0)</f>
        <v>28</v>
      </c>
    </row>
    <row r="4" spans="2:5" x14ac:dyDescent="0.25">
      <c r="B4">
        <f t="shared" si="0"/>
        <v>15100</v>
      </c>
      <c r="C4">
        <f>VLOOKUP(B4,Data[],3,0)</f>
        <v>15604</v>
      </c>
      <c r="D4">
        <f>VLOOKUP(B4,Data[],5,0)</f>
        <v>333</v>
      </c>
    </row>
    <row r="5" spans="2:5" x14ac:dyDescent="0.25">
      <c r="B5">
        <f t="shared" si="0"/>
        <v>15050</v>
      </c>
      <c r="C5">
        <f>VLOOKUP(B5,Data[],3,0)</f>
        <v>6421</v>
      </c>
      <c r="D5">
        <f>VLOOKUP(B5,Data[],5,0)</f>
        <v>67</v>
      </c>
    </row>
    <row r="6" spans="2:5" x14ac:dyDescent="0.25">
      <c r="B6">
        <f t="shared" si="0"/>
        <v>15000</v>
      </c>
      <c r="C6">
        <f>VLOOKUP(B6,Data[],3,0)</f>
        <v>19423</v>
      </c>
      <c r="D6">
        <f>VLOOKUP(B6,Data[],5,0)</f>
        <v>2112</v>
      </c>
    </row>
    <row r="7" spans="2:5" x14ac:dyDescent="0.25">
      <c r="B7">
        <f>B8+50</f>
        <v>14950</v>
      </c>
      <c r="C7">
        <f>VLOOKUP(B7,Data[],3,0)</f>
        <v>6197</v>
      </c>
      <c r="D7">
        <f>VLOOKUP(B7,Data[],5,0)</f>
        <v>1034</v>
      </c>
    </row>
    <row r="8" spans="2:5" x14ac:dyDescent="0.25">
      <c r="B8" s="2">
        <f>MROUND(Sheet2!D5,50)</f>
        <v>14900</v>
      </c>
      <c r="C8">
        <f>VLOOKUP(B8,Data[],3,0)</f>
        <v>14565</v>
      </c>
      <c r="D8">
        <f>VLOOKUP(B8,Data[],5,0)</f>
        <v>8846</v>
      </c>
    </row>
    <row r="9" spans="2:5" x14ac:dyDescent="0.25">
      <c r="B9">
        <f>B8-50</f>
        <v>14850</v>
      </c>
      <c r="C9">
        <f>VLOOKUP(B9,Data[],3,0)</f>
        <v>6330</v>
      </c>
      <c r="D9">
        <f>VLOOKUP(B9,Data[],5,0)</f>
        <v>5002</v>
      </c>
    </row>
    <row r="10" spans="2:5" x14ac:dyDescent="0.25">
      <c r="B10">
        <f t="shared" ref="B10:B14" si="1">B9-50</f>
        <v>14800</v>
      </c>
      <c r="C10">
        <f>VLOOKUP(B10,Data[],3,0)</f>
        <v>2649</v>
      </c>
      <c r="D10">
        <f>VLOOKUP(B10,Data[],5,0)</f>
        <v>19760</v>
      </c>
    </row>
    <row r="11" spans="2:5" x14ac:dyDescent="0.25">
      <c r="B11">
        <f t="shared" si="1"/>
        <v>14750</v>
      </c>
      <c r="C11">
        <f>VLOOKUP(B11,Data[],3,0)</f>
        <v>-1646</v>
      </c>
      <c r="D11">
        <f>VLOOKUP(B11,Data[],5,0)</f>
        <v>2972</v>
      </c>
    </row>
    <row r="12" spans="2:5" x14ac:dyDescent="0.25">
      <c r="B12">
        <f t="shared" si="1"/>
        <v>14700</v>
      </c>
      <c r="C12">
        <f>VLOOKUP(B12,Data[],3,0)</f>
        <v>-3287</v>
      </c>
      <c r="D12">
        <f>VLOOKUP(B12,Data[],5,0)</f>
        <v>7196</v>
      </c>
    </row>
    <row r="13" spans="2:5" x14ac:dyDescent="0.25">
      <c r="B13">
        <f t="shared" si="1"/>
        <v>14650</v>
      </c>
      <c r="C13">
        <f>VLOOKUP(B13,Data[],3,0)</f>
        <v>-329</v>
      </c>
      <c r="D13">
        <f>VLOOKUP(B13,Data[],5,0)</f>
        <v>3009</v>
      </c>
    </row>
    <row r="14" spans="2:5" x14ac:dyDescent="0.25">
      <c r="B14">
        <f t="shared" si="1"/>
        <v>14600</v>
      </c>
      <c r="C14">
        <f>VLOOKUP(B14,Data[],3,0)</f>
        <v>-2136</v>
      </c>
      <c r="D14">
        <f>VLOOKUP(B14,Data[],5,0)</f>
        <v>5396</v>
      </c>
    </row>
    <row r="15" spans="2:5" x14ac:dyDescent="0.25">
      <c r="C15" s="3">
        <f>SUM(C2:C14)</f>
        <v>78523</v>
      </c>
      <c r="D15" s="3">
        <f>SUM(D2:D14)</f>
        <v>55868</v>
      </c>
    </row>
    <row r="16" spans="2:5" x14ac:dyDescent="0.25">
      <c r="C16" s="5">
        <f ca="1">NOW()</f>
        <v>44257.811542129632</v>
      </c>
      <c r="D16" s="3">
        <f>(D15-C15)*75</f>
        <v>-1699125</v>
      </c>
      <c r="E16" s="3">
        <f>Sheet2!D4</f>
        <v>14919.1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87819-0D02-495B-90D2-6C948ED86B63}">
  <sheetPr codeName="Sheet4"/>
  <dimension ref="B1:E71"/>
  <sheetViews>
    <sheetView tabSelected="1" workbookViewId="0">
      <selection activeCell="B33" sqref="B33:D33"/>
    </sheetView>
  </sheetViews>
  <sheetFormatPr defaultRowHeight="15" x14ac:dyDescent="0.25"/>
  <sheetData>
    <row r="1" spans="2:5" x14ac:dyDescent="0.25">
      <c r="B1" s="3" t="s">
        <v>11</v>
      </c>
      <c r="C1" s="3" t="s">
        <v>12</v>
      </c>
      <c r="D1" s="3" t="s">
        <v>13</v>
      </c>
    </row>
    <row r="2" spans="2:5" x14ac:dyDescent="0.25">
      <c r="B2" s="3" t="s">
        <v>11</v>
      </c>
      <c r="C2" s="3" t="s">
        <v>12</v>
      </c>
      <c r="D2" s="3" t="s">
        <v>13</v>
      </c>
    </row>
    <row r="3" spans="2:5" x14ac:dyDescent="0.25">
      <c r="B3" s="6">
        <v>44257.425405671296</v>
      </c>
      <c r="C3">
        <v>2715300</v>
      </c>
      <c r="D3">
        <v>14915.25</v>
      </c>
    </row>
    <row r="4" spans="2:5" x14ac:dyDescent="0.25">
      <c r="B4" s="6">
        <v>44257.435662268515</v>
      </c>
      <c r="C4">
        <v>3392700</v>
      </c>
      <c r="D4">
        <v>14904.7</v>
      </c>
      <c r="E4">
        <f>(D3-D4)/D3*100</f>
        <v>7.073297464004473E-2</v>
      </c>
    </row>
    <row r="5" spans="2:5" x14ac:dyDescent="0.25">
      <c r="B5" s="6">
        <v>44257.445997916664</v>
      </c>
      <c r="C5">
        <v>5424300</v>
      </c>
      <c r="D5">
        <v>14864.15</v>
      </c>
      <c r="E5">
        <f t="shared" ref="E5:E19" si="0">(D4-D5)/D4*100</f>
        <v>0.27206183284468044</v>
      </c>
    </row>
    <row r="6" spans="2:5" x14ac:dyDescent="0.25">
      <c r="B6" s="6">
        <v>44257.456332638889</v>
      </c>
      <c r="C6">
        <v>5358975</v>
      </c>
      <c r="D6">
        <v>14854.6</v>
      </c>
      <c r="E6">
        <f t="shared" si="0"/>
        <v>6.4248544316353601E-2</v>
      </c>
    </row>
    <row r="7" spans="2:5" x14ac:dyDescent="0.25">
      <c r="B7" s="6">
        <v>44257.466668518522</v>
      </c>
      <c r="C7">
        <v>5875725</v>
      </c>
      <c r="D7">
        <v>14822</v>
      </c>
      <c r="E7">
        <f t="shared" si="0"/>
        <v>0.21946063845543037</v>
      </c>
    </row>
    <row r="8" spans="2:5" x14ac:dyDescent="0.25">
      <c r="B8" s="6">
        <v>44257.477004166663</v>
      </c>
      <c r="C8">
        <v>5523225</v>
      </c>
      <c r="D8">
        <v>14792</v>
      </c>
      <c r="E8">
        <f t="shared" si="0"/>
        <v>0.20240183510997167</v>
      </c>
    </row>
    <row r="9" spans="2:5" x14ac:dyDescent="0.25">
      <c r="B9" s="6">
        <v>44257.48733935185</v>
      </c>
      <c r="C9">
        <v>4224300</v>
      </c>
      <c r="D9">
        <v>14827.35</v>
      </c>
      <c r="E9">
        <f t="shared" si="0"/>
        <v>-0.23898053001622743</v>
      </c>
    </row>
    <row r="10" spans="2:5" x14ac:dyDescent="0.25">
      <c r="B10" s="6">
        <v>44257.497674537037</v>
      </c>
      <c r="C10">
        <v>3545100</v>
      </c>
      <c r="D10">
        <v>14843.5</v>
      </c>
      <c r="E10">
        <f t="shared" si="0"/>
        <v>-0.10892033977750329</v>
      </c>
    </row>
    <row r="11" spans="2:5" x14ac:dyDescent="0.25">
      <c r="B11" s="6">
        <v>44257.50801041667</v>
      </c>
      <c r="C11">
        <v>3248250</v>
      </c>
      <c r="D11">
        <v>14817.8</v>
      </c>
      <c r="E11">
        <f t="shared" si="0"/>
        <v>0.17313975814329993</v>
      </c>
    </row>
    <row r="12" spans="2:5" x14ac:dyDescent="0.25">
      <c r="B12" s="6">
        <v>44257.518345601849</v>
      </c>
      <c r="C12">
        <v>2219400</v>
      </c>
      <c r="D12">
        <v>14835.8</v>
      </c>
      <c r="E12">
        <f t="shared" si="0"/>
        <v>-0.12147552268217954</v>
      </c>
    </row>
    <row r="13" spans="2:5" x14ac:dyDescent="0.25">
      <c r="B13" s="6">
        <v>44257.528873379626</v>
      </c>
      <c r="C13">
        <v>2219175</v>
      </c>
      <c r="D13">
        <v>14816.95</v>
      </c>
      <c r="E13">
        <f t="shared" si="0"/>
        <v>0.12705752301863427</v>
      </c>
    </row>
    <row r="14" spans="2:5" x14ac:dyDescent="0.25">
      <c r="B14" s="6">
        <v>44257.539017939816</v>
      </c>
      <c r="C14">
        <v>1548225</v>
      </c>
      <c r="D14">
        <v>14807.5</v>
      </c>
      <c r="E14">
        <f t="shared" si="0"/>
        <v>6.3778307951371419E-2</v>
      </c>
    </row>
    <row r="15" spans="2:5" x14ac:dyDescent="0.25">
      <c r="B15" s="6">
        <v>44257.549351273148</v>
      </c>
      <c r="C15">
        <v>442125</v>
      </c>
      <c r="D15">
        <v>14817.6</v>
      </c>
      <c r="E15">
        <f t="shared" si="0"/>
        <v>-6.820867803478213E-2</v>
      </c>
    </row>
    <row r="16" spans="2:5" x14ac:dyDescent="0.25">
      <c r="B16" s="6">
        <v>44257.559699305559</v>
      </c>
      <c r="C16">
        <v>-249075</v>
      </c>
      <c r="D16">
        <v>14812.6</v>
      </c>
      <c r="E16">
        <f t="shared" si="0"/>
        <v>3.3743656192635786E-2</v>
      </c>
    </row>
    <row r="17" spans="2:5" x14ac:dyDescent="0.25">
      <c r="B17" s="6">
        <v>44257.570021990738</v>
      </c>
      <c r="C17">
        <v>-267600</v>
      </c>
      <c r="D17">
        <v>14785.9</v>
      </c>
      <c r="E17">
        <f t="shared" si="0"/>
        <v>0.18025194766618102</v>
      </c>
    </row>
    <row r="18" spans="2:5" x14ac:dyDescent="0.25">
      <c r="B18" s="6">
        <v>44257.580357638886</v>
      </c>
      <c r="C18">
        <v>-1155300</v>
      </c>
      <c r="D18">
        <v>14853.8</v>
      </c>
      <c r="E18">
        <f t="shared" si="0"/>
        <v>-0.45922128514327593</v>
      </c>
    </row>
    <row r="19" spans="2:5" x14ac:dyDescent="0.25">
      <c r="B19" s="6">
        <v>44257.590689699071</v>
      </c>
      <c r="C19">
        <v>-1190775</v>
      </c>
      <c r="D19">
        <v>14836.4</v>
      </c>
      <c r="E19">
        <f t="shared" si="0"/>
        <v>0.1171417415072213</v>
      </c>
    </row>
    <row r="20" spans="2:5" x14ac:dyDescent="0.25">
      <c r="B20" s="6">
        <v>44257.627899884261</v>
      </c>
      <c r="C20">
        <v>-1092075</v>
      </c>
      <c r="D20">
        <v>14838.25</v>
      </c>
    </row>
    <row r="21" spans="2:5" x14ac:dyDescent="0.25">
      <c r="B21" s="6">
        <v>44257.638571875003</v>
      </c>
      <c r="C21">
        <v>-2847600</v>
      </c>
      <c r="D21">
        <v>14932.55</v>
      </c>
    </row>
    <row r="22" spans="2:5" x14ac:dyDescent="0.25">
      <c r="B22" s="6">
        <v>44257.648570370373</v>
      </c>
      <c r="C22">
        <v>-2575875</v>
      </c>
      <c r="D22">
        <v>14945.65</v>
      </c>
    </row>
    <row r="23" spans="2:5" x14ac:dyDescent="0.25">
      <c r="B23" s="6">
        <v>44257.658905671298</v>
      </c>
      <c r="C23">
        <v>-1699125</v>
      </c>
      <c r="D23">
        <v>14919.1</v>
      </c>
    </row>
    <row r="24" spans="2:5" x14ac:dyDescent="0.25">
      <c r="B24" s="6">
        <v>44257.669241435186</v>
      </c>
      <c r="C24">
        <v>-1699125</v>
      </c>
      <c r="D24">
        <v>14919.1</v>
      </c>
    </row>
    <row r="25" spans="2:5" x14ac:dyDescent="0.25">
      <c r="B25" s="6">
        <v>44257.672682638891</v>
      </c>
      <c r="C25">
        <v>-1699125</v>
      </c>
      <c r="D25">
        <v>14919.1</v>
      </c>
    </row>
    <row r="26" spans="2:5" x14ac:dyDescent="0.25">
      <c r="B26" s="6">
        <v>44257.707826157406</v>
      </c>
      <c r="C26">
        <v>-1699125</v>
      </c>
      <c r="D26">
        <v>14919.1</v>
      </c>
    </row>
    <row r="27" spans="2:5" x14ac:dyDescent="0.25">
      <c r="B27" s="6">
        <v>44257.718161921293</v>
      </c>
      <c r="C27">
        <v>-1699125</v>
      </c>
      <c r="D27">
        <v>14919.1</v>
      </c>
    </row>
    <row r="28" spans="2:5" x14ac:dyDescent="0.25">
      <c r="B28" s="6">
        <v>44257.728496296295</v>
      </c>
      <c r="C28">
        <v>-1699125</v>
      </c>
      <c r="D28">
        <v>14919.1</v>
      </c>
    </row>
    <row r="29" spans="2:5" x14ac:dyDescent="0.25">
      <c r="B29" s="6">
        <v>44257.735383912041</v>
      </c>
      <c r="C29">
        <v>-1699125</v>
      </c>
      <c r="D29">
        <v>14919.1</v>
      </c>
    </row>
    <row r="30" spans="2:5" x14ac:dyDescent="0.25">
      <c r="B30" s="6">
        <v>44257.77535034722</v>
      </c>
      <c r="C30">
        <v>-1699125</v>
      </c>
      <c r="D30">
        <v>14919.1</v>
      </c>
    </row>
    <row r="31" spans="2:5" x14ac:dyDescent="0.25">
      <c r="B31" s="6">
        <v>44257.785685648145</v>
      </c>
      <c r="C31">
        <v>-1699125</v>
      </c>
      <c r="D31">
        <v>14919.1</v>
      </c>
    </row>
    <row r="32" spans="2:5" x14ac:dyDescent="0.25">
      <c r="B32" s="6">
        <v>44257.796022800925</v>
      </c>
      <c r="C32">
        <v>-1699125</v>
      </c>
      <c r="D32">
        <v>14919.1</v>
      </c>
    </row>
    <row r="33" spans="2:4" x14ac:dyDescent="0.25">
      <c r="B33" s="6">
        <v>44257.802907060184</v>
      </c>
      <c r="C33">
        <v>-1699125</v>
      </c>
      <c r="D33">
        <v>14919.1</v>
      </c>
    </row>
    <row r="34" spans="2:4" x14ac:dyDescent="0.25">
      <c r="B34" s="6"/>
    </row>
    <row r="35" spans="2:4" x14ac:dyDescent="0.25">
      <c r="B35" s="6"/>
    </row>
    <row r="36" spans="2:4" x14ac:dyDescent="0.25">
      <c r="B36" s="6"/>
    </row>
    <row r="37" spans="2:4" x14ac:dyDescent="0.25">
      <c r="B37" s="6"/>
    </row>
    <row r="38" spans="2:4" x14ac:dyDescent="0.25">
      <c r="B38" s="6"/>
    </row>
    <row r="39" spans="2:4" x14ac:dyDescent="0.25">
      <c r="B39" s="6"/>
    </row>
    <row r="40" spans="2:4" x14ac:dyDescent="0.25">
      <c r="B40" s="6"/>
    </row>
    <row r="41" spans="2:4" x14ac:dyDescent="0.25">
      <c r="B41" s="6"/>
    </row>
    <row r="42" spans="2:4" x14ac:dyDescent="0.25">
      <c r="B42" s="6"/>
    </row>
    <row r="43" spans="2:4" x14ac:dyDescent="0.25">
      <c r="B43" s="6"/>
    </row>
    <row r="44" spans="2:4" x14ac:dyDescent="0.25">
      <c r="B44" s="6"/>
    </row>
    <row r="45" spans="2:4" x14ac:dyDescent="0.25">
      <c r="B45" s="6"/>
    </row>
    <row r="46" spans="2:4" x14ac:dyDescent="0.25">
      <c r="B46" s="6"/>
    </row>
    <row r="47" spans="2:4" x14ac:dyDescent="0.25">
      <c r="B47" s="6"/>
    </row>
    <row r="48" spans="2:4" x14ac:dyDescent="0.25">
      <c r="B48" s="6"/>
    </row>
    <row r="49" spans="2:2" x14ac:dyDescent="0.25">
      <c r="B49" s="6"/>
    </row>
    <row r="50" spans="2:2" x14ac:dyDescent="0.25">
      <c r="B50" s="6"/>
    </row>
    <row r="51" spans="2:2" x14ac:dyDescent="0.25">
      <c r="B51" s="6"/>
    </row>
    <row r="52" spans="2:2" x14ac:dyDescent="0.25">
      <c r="B52" s="6"/>
    </row>
    <row r="53" spans="2:2" x14ac:dyDescent="0.25">
      <c r="B53" s="6"/>
    </row>
    <row r="54" spans="2:2" x14ac:dyDescent="0.25">
      <c r="B54" s="6"/>
    </row>
    <row r="55" spans="2:2" x14ac:dyDescent="0.25">
      <c r="B55" s="6"/>
    </row>
    <row r="56" spans="2:2" x14ac:dyDescent="0.25">
      <c r="B56" s="6"/>
    </row>
    <row r="57" spans="2:2" x14ac:dyDescent="0.25">
      <c r="B57" s="6"/>
    </row>
    <row r="58" spans="2:2" x14ac:dyDescent="0.25">
      <c r="B58" s="6"/>
    </row>
    <row r="59" spans="2:2" x14ac:dyDescent="0.25">
      <c r="B59" s="6"/>
    </row>
    <row r="60" spans="2:2" x14ac:dyDescent="0.25">
      <c r="B60" s="6"/>
    </row>
    <row r="61" spans="2:2" x14ac:dyDescent="0.25">
      <c r="B61" s="6"/>
    </row>
    <row r="62" spans="2:2" x14ac:dyDescent="0.25">
      <c r="B62" s="6"/>
    </row>
    <row r="63" spans="2:2" x14ac:dyDescent="0.25">
      <c r="B63" s="6"/>
    </row>
    <row r="64" spans="2:2" x14ac:dyDescent="0.25">
      <c r="B64" s="6"/>
    </row>
    <row r="65" spans="2:2" x14ac:dyDescent="0.25">
      <c r="B65" s="6"/>
    </row>
    <row r="66" spans="2:2" x14ac:dyDescent="0.25">
      <c r="B66" s="6"/>
    </row>
    <row r="67" spans="2:2" x14ac:dyDescent="0.25">
      <c r="B67" s="6"/>
    </row>
    <row r="68" spans="2:2" x14ac:dyDescent="0.25">
      <c r="B68" s="6"/>
    </row>
    <row r="69" spans="2:2" x14ac:dyDescent="0.25">
      <c r="B69" s="6"/>
    </row>
    <row r="70" spans="2:2" x14ac:dyDescent="0.25">
      <c r="B70" s="6"/>
    </row>
    <row r="71" spans="2:2" x14ac:dyDescent="0.25">
      <c r="B71" s="6"/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42B6BE-FA86-469E-8AE3-A2A2AA0141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2021-02-25T12:49:05Z</dcterms:created>
  <dcterms:modified xsi:type="dcterms:W3CDTF">2021-03-02T13:58:48Z</dcterms:modified>
</cp:coreProperties>
</file>